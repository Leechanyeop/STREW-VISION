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TREW_VISION\strew-hardware\BOM\"/>
    </mc:Choice>
  </mc:AlternateContent>
  <xr:revisionPtr revIDLastSave="0" documentId="13_ncr:1_{E968A66B-24F9-45CB-BC2B-021921A19BD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OM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9" i="1" l="1"/>
  <c r="J38" i="1"/>
  <c r="E38" i="1"/>
  <c r="K37" i="1"/>
  <c r="L37" i="1" s="1"/>
  <c r="J37" i="1"/>
  <c r="K36" i="1"/>
  <c r="L36" i="1" s="1"/>
  <c r="J36" i="1"/>
  <c r="L35" i="1"/>
  <c r="K35" i="1"/>
  <c r="J35" i="1"/>
  <c r="K34" i="1"/>
  <c r="L34" i="1" s="1"/>
  <c r="J34" i="1"/>
  <c r="K33" i="1"/>
  <c r="L33" i="1" s="1"/>
  <c r="J33" i="1"/>
  <c r="L32" i="1"/>
  <c r="K32" i="1"/>
  <c r="J32" i="1"/>
  <c r="K31" i="1"/>
  <c r="L31" i="1" s="1"/>
  <c r="J31" i="1"/>
  <c r="K30" i="1"/>
  <c r="L30" i="1" s="1"/>
  <c r="J30" i="1"/>
  <c r="K29" i="1"/>
  <c r="L29" i="1" s="1"/>
  <c r="J29" i="1"/>
  <c r="K28" i="1"/>
  <c r="L28" i="1" s="1"/>
  <c r="J28" i="1"/>
  <c r="K27" i="1"/>
  <c r="L27" i="1" s="1"/>
  <c r="J27" i="1"/>
  <c r="K26" i="1"/>
  <c r="L26" i="1" s="1"/>
  <c r="J26" i="1"/>
  <c r="K25" i="1"/>
  <c r="L25" i="1" s="1"/>
  <c r="J25" i="1"/>
  <c r="K24" i="1"/>
  <c r="L24" i="1" s="1"/>
  <c r="J24" i="1"/>
  <c r="K23" i="1"/>
  <c r="L23" i="1" s="1"/>
  <c r="J23" i="1"/>
  <c r="L22" i="1"/>
  <c r="K22" i="1"/>
  <c r="J22" i="1"/>
  <c r="K21" i="1"/>
  <c r="L21" i="1" s="1"/>
  <c r="J21" i="1"/>
  <c r="K20" i="1"/>
  <c r="L20" i="1" s="1"/>
  <c r="J20" i="1"/>
  <c r="K19" i="1"/>
  <c r="L19" i="1" s="1"/>
  <c r="J19" i="1"/>
  <c r="K18" i="1"/>
  <c r="L18" i="1" s="1"/>
  <c r="J18" i="1"/>
  <c r="K17" i="1"/>
  <c r="L17" i="1" s="1"/>
  <c r="J17" i="1"/>
  <c r="K16" i="1"/>
  <c r="L16" i="1" s="1"/>
  <c r="J16" i="1"/>
  <c r="K15" i="1"/>
  <c r="L15" i="1" s="1"/>
  <c r="J15" i="1"/>
  <c r="K14" i="1"/>
  <c r="L14" i="1" s="1"/>
  <c r="J14" i="1"/>
  <c r="K13" i="1"/>
  <c r="L13" i="1" s="1"/>
  <c r="J13" i="1"/>
  <c r="L12" i="1"/>
  <c r="K12" i="1"/>
  <c r="J12" i="1"/>
  <c r="K11" i="1"/>
  <c r="L11" i="1" s="1"/>
  <c r="J11" i="1"/>
  <c r="K10" i="1"/>
  <c r="L10" i="1" s="1"/>
  <c r="J10" i="1"/>
  <c r="K9" i="1"/>
  <c r="L9" i="1" s="1"/>
  <c r="J9" i="1"/>
  <c r="K8" i="1"/>
  <c r="L8" i="1" s="1"/>
  <c r="J8" i="1"/>
  <c r="K7" i="1"/>
  <c r="L7" i="1" s="1"/>
  <c r="J7" i="1"/>
  <c r="L38" i="1" l="1"/>
</calcChain>
</file>

<file path=xl/sharedStrings.xml><?xml version="1.0" encoding="utf-8"?>
<sst xmlns="http://schemas.openxmlformats.org/spreadsheetml/2006/main" count="136" uniqueCount="124">
  <si>
    <t>STREW-VISION 3D Printing BOM (Bill of Materials)</t>
  </si>
  <si>
    <r>
      <rPr>
        <i/>
        <sz val="9"/>
        <color rgb="FF808080"/>
        <rFont val="Noto Sans CJK SC"/>
        <family val="2"/>
      </rPr>
      <t>출처</t>
    </r>
    <r>
      <rPr>
        <i/>
        <sz val="9"/>
        <color rgb="FF808080"/>
        <rFont val="Arial"/>
        <family val="2"/>
      </rPr>
      <t xml:space="preserve">: C:\STREW_VISION\strew-hardware\3D Printing (STL </t>
    </r>
    <r>
      <rPr>
        <i/>
        <sz val="9"/>
        <color rgb="FF808080"/>
        <rFont val="Noto Sans CJK SC"/>
        <family val="2"/>
      </rPr>
      <t>형상 분석 기준</t>
    </r>
    <r>
      <rPr>
        <i/>
        <sz val="9"/>
        <color rgb="FF808080"/>
        <rFont val="Arial"/>
        <family val="2"/>
      </rPr>
      <t>, 2026-07-02)</t>
    </r>
  </si>
  <si>
    <r>
      <rPr>
        <b/>
        <sz val="10"/>
        <rFont val="Noto Sans CJK SC"/>
        <family val="2"/>
      </rPr>
      <t xml:space="preserve">재질 밀도 가정 </t>
    </r>
    <r>
      <rPr>
        <b/>
        <sz val="10"/>
        <rFont val="Arial"/>
        <family val="2"/>
      </rPr>
      <t>(Material Density)</t>
    </r>
  </si>
  <si>
    <r>
      <rPr>
        <i/>
        <sz val="9"/>
        <color rgb="FF808080"/>
        <rFont val="Arial"/>
        <family val="2"/>
      </rPr>
      <t xml:space="preserve">g/cm³ (PLA </t>
    </r>
    <r>
      <rPr>
        <i/>
        <sz val="9"/>
        <color rgb="FF808080"/>
        <rFont val="Noto Sans CJK SC"/>
        <family val="2"/>
      </rPr>
      <t>기준</t>
    </r>
    <r>
      <rPr>
        <i/>
        <sz val="9"/>
        <color rgb="FF808080"/>
        <rFont val="Arial"/>
        <family val="2"/>
      </rPr>
      <t xml:space="preserve">, </t>
    </r>
    <r>
      <rPr>
        <i/>
        <sz val="9"/>
        <color rgb="FF808080"/>
        <rFont val="Noto Sans CJK SC"/>
        <family val="2"/>
      </rPr>
      <t>파란색 셀 값 변경 시 중량 자동 재계산</t>
    </r>
    <r>
      <rPr>
        <i/>
        <sz val="9"/>
        <color rgb="FF808080"/>
        <rFont val="Arial"/>
        <family val="2"/>
      </rPr>
      <t>)</t>
    </r>
  </si>
  <si>
    <t>No</t>
  </si>
  <si>
    <t>Part No</t>
  </si>
  <si>
    <t>Part Name</t>
  </si>
  <si>
    <t>원본 파일명</t>
  </si>
  <si>
    <r>
      <rPr>
        <b/>
        <sz val="10"/>
        <color rgb="FFFFFFFF"/>
        <rFont val="Noto Sans CJK SC"/>
        <family val="2"/>
      </rPr>
      <t xml:space="preserve">수량
</t>
    </r>
    <r>
      <rPr>
        <b/>
        <sz val="10"/>
        <color rgb="FFFFFFFF"/>
        <rFont val="Arial"/>
        <family val="2"/>
      </rPr>
      <t>(EA)</t>
    </r>
  </si>
  <si>
    <t>X
(mm)</t>
  </si>
  <si>
    <t>Y
(mm)</t>
  </si>
  <si>
    <t>Z
(mm)</t>
  </si>
  <si>
    <r>
      <rPr>
        <b/>
        <sz val="10"/>
        <color rgb="FFFFFFFF"/>
        <rFont val="Noto Sans CJK SC"/>
        <family val="2"/>
      </rPr>
      <t xml:space="preserve">단위 부피
</t>
    </r>
    <r>
      <rPr>
        <b/>
        <sz val="10"/>
        <color rgb="FFFFFFFF"/>
        <rFont val="Arial"/>
        <family val="2"/>
      </rPr>
      <t>(cm³)</t>
    </r>
  </si>
  <si>
    <r>
      <rPr>
        <b/>
        <sz val="10"/>
        <color rgb="FFFFFFFF"/>
        <rFont val="Noto Sans CJK SC"/>
        <family val="2"/>
      </rPr>
      <t xml:space="preserve">수량 부피
</t>
    </r>
    <r>
      <rPr>
        <b/>
        <sz val="10"/>
        <color rgb="FFFFFFFF"/>
        <rFont val="Arial"/>
        <family val="2"/>
      </rPr>
      <t>(cm³)</t>
    </r>
  </si>
  <si>
    <r>
      <rPr>
        <b/>
        <sz val="10"/>
        <color rgb="FFFFFFFF"/>
        <rFont val="Noto Sans CJK SC"/>
        <family val="2"/>
      </rPr>
      <t xml:space="preserve">단위 예상중량
</t>
    </r>
    <r>
      <rPr>
        <b/>
        <sz val="10"/>
        <color rgb="FFFFFFFF"/>
        <rFont val="Arial"/>
        <family val="2"/>
      </rPr>
      <t>(g)</t>
    </r>
  </si>
  <si>
    <r>
      <rPr>
        <b/>
        <sz val="10"/>
        <color rgb="FFFFFFFF"/>
        <rFont val="Noto Sans CJK SC"/>
        <family val="2"/>
      </rPr>
      <t xml:space="preserve">총 예상중량
</t>
    </r>
    <r>
      <rPr>
        <b/>
        <sz val="10"/>
        <color rgb="FFFFFFFF"/>
        <rFont val="Arial"/>
        <family val="2"/>
      </rPr>
      <t>(g)</t>
    </r>
  </si>
  <si>
    <t>비고</t>
  </si>
  <si>
    <t>1-BFP-00</t>
  </si>
  <si>
    <t>Belt fixing plate</t>
  </si>
  <si>
    <t>(1EA)1-BFP-00_Belt fixing plate.stl</t>
  </si>
  <si>
    <t>1-BP-00</t>
  </si>
  <si>
    <t>Bord Plate</t>
  </si>
  <si>
    <t>(1EA)1-BP-00_Bord Plate.stl</t>
  </si>
  <si>
    <t>1-BP-01</t>
  </si>
  <si>
    <t>Base Plate</t>
  </si>
  <si>
    <t>(1EA)1-BP-01_Base Plate.stl</t>
  </si>
  <si>
    <t>1-CCB-00</t>
  </si>
  <si>
    <t>Cable Chain Bracket</t>
  </si>
  <si>
    <t>(1EA)1-CCB-00_Cable Chain Bracket.stl</t>
  </si>
  <si>
    <t>1-DjbB-00</t>
  </si>
  <si>
    <t>Dual Joint Box Base</t>
  </si>
  <si>
    <t>(1EA)1-DjbB-00_Dual Joint Box Base.stl</t>
  </si>
  <si>
    <t>1-IB-00</t>
  </si>
  <si>
    <t>Idler Block</t>
  </si>
  <si>
    <t>(1EA)1-IB-00_Idler Block.stl</t>
  </si>
  <si>
    <r>
      <rPr>
        <sz val="10"/>
        <rFont val="Noto Sans CJK SC"/>
        <family val="2"/>
      </rPr>
      <t xml:space="preserve">리비전 </t>
    </r>
    <r>
      <rPr>
        <sz val="10"/>
        <rFont val="Arial"/>
        <family val="2"/>
      </rPr>
      <t>00 (1-IB-01</t>
    </r>
    <r>
      <rPr>
        <sz val="10"/>
        <rFont val="Noto Sans CJK SC"/>
        <family val="2"/>
      </rPr>
      <t>과 형상 상이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사용처 확인 필요</t>
    </r>
    <r>
      <rPr>
        <sz val="10"/>
        <rFont val="Arial"/>
        <family val="2"/>
      </rPr>
      <t>)</t>
    </r>
  </si>
  <si>
    <t>1-IB-01</t>
  </si>
  <si>
    <t>(1EA)1-IB-01_Idler Block.stl</t>
  </si>
  <si>
    <r>
      <rPr>
        <sz val="10"/>
        <rFont val="Noto Sans CJK SC"/>
        <family val="2"/>
      </rPr>
      <t xml:space="preserve">리비전 </t>
    </r>
    <r>
      <rPr>
        <sz val="10"/>
        <rFont val="Arial"/>
        <family val="2"/>
      </rPr>
      <t>01 (1-IB-00</t>
    </r>
    <r>
      <rPr>
        <sz val="10"/>
        <rFont val="Noto Sans CJK SC"/>
        <family val="2"/>
      </rPr>
      <t>과 형상 상이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사용처 확인 필요</t>
    </r>
    <r>
      <rPr>
        <sz val="10"/>
        <rFont val="Arial"/>
        <family val="2"/>
      </rPr>
      <t>)</t>
    </r>
  </si>
  <si>
    <t>1-JBC-01</t>
  </si>
  <si>
    <t>Joint Box Cover</t>
  </si>
  <si>
    <t>(1EA)1-JBC-01_Joint Box Cover.stl</t>
  </si>
  <si>
    <r>
      <rPr>
        <sz val="10"/>
        <rFont val="Noto Sans CJK SC"/>
        <family val="2"/>
      </rPr>
      <t xml:space="preserve">리비전 </t>
    </r>
    <r>
      <rPr>
        <sz val="10"/>
        <rFont val="Arial"/>
        <family val="2"/>
      </rPr>
      <t>01 (1-JBC-00</t>
    </r>
    <r>
      <rPr>
        <sz val="10"/>
        <rFont val="Noto Sans CJK SC"/>
        <family val="2"/>
      </rPr>
      <t>과 치수 상이</t>
    </r>
    <r>
      <rPr>
        <sz val="10"/>
        <rFont val="Arial"/>
        <family val="2"/>
      </rPr>
      <t>)</t>
    </r>
  </si>
  <si>
    <t>1-MB-00</t>
  </si>
  <si>
    <t>Motor Block</t>
  </si>
  <si>
    <t>(1EA)1-MB-00__Motor Block.stl</t>
  </si>
  <si>
    <r>
      <rPr>
        <sz val="10"/>
        <rFont val="Noto Sans CJK SC"/>
        <family val="2"/>
      </rPr>
      <t xml:space="preserve">리비전 </t>
    </r>
    <r>
      <rPr>
        <sz val="10"/>
        <rFont val="Arial"/>
        <family val="2"/>
      </rPr>
      <t>00</t>
    </r>
  </si>
  <si>
    <t>1-MB-01</t>
  </si>
  <si>
    <t>(1EA)1-MB-01__Motor Block.stl</t>
  </si>
  <si>
    <r>
      <rPr>
        <sz val="10"/>
        <rFont val="Noto Sans CJK SC"/>
        <family val="2"/>
      </rPr>
      <t xml:space="preserve">리비전 </t>
    </r>
    <r>
      <rPr>
        <sz val="10"/>
        <rFont val="Arial"/>
        <family val="2"/>
      </rPr>
      <t>01</t>
    </r>
  </si>
  <si>
    <t>1-PC-00</t>
  </si>
  <si>
    <t>Pi Camera</t>
  </si>
  <si>
    <t>(1EA)1-PC-00_Pi Camera.stl</t>
  </si>
  <si>
    <t>1-SA-01</t>
  </si>
  <si>
    <t>Servo Arm</t>
  </si>
  <si>
    <t>(1EA)1-SA-01_Servo Arm.stl</t>
  </si>
  <si>
    <t>1-SA-02</t>
  </si>
  <si>
    <t>(1EA)1-SA-02_Servo Arm.stl</t>
  </si>
  <si>
    <r>
      <rPr>
        <sz val="10"/>
        <rFont val="Noto Sans CJK SC"/>
        <family val="2"/>
      </rPr>
      <t xml:space="preserve">리비전 </t>
    </r>
    <r>
      <rPr>
        <sz val="10"/>
        <rFont val="Arial"/>
        <family val="2"/>
      </rPr>
      <t>02</t>
    </r>
  </si>
  <si>
    <t>1-SDL-00</t>
  </si>
  <si>
    <t>Sensor Disk Limit</t>
  </si>
  <si>
    <t>(1EA)1-SDL-00_Sensor Disk Limit.stl</t>
  </si>
  <si>
    <t>1-SRB-00</t>
  </si>
  <si>
    <t>Servo rotary Base</t>
  </si>
  <si>
    <t>(1EA)1-SRB-00_Servo rotary Base.stl</t>
  </si>
  <si>
    <t>1-SRP-00</t>
  </si>
  <si>
    <t>Servo rotary plate</t>
  </si>
  <si>
    <t>(1EA)1-SRP-00_Servo rotary plate.stl</t>
  </si>
  <si>
    <t>GRIPPER-5</t>
  </si>
  <si>
    <t>Gripper (Type 5)</t>
  </si>
  <si>
    <t>(1EA)Gripper_5.stl</t>
  </si>
  <si>
    <r>
      <rPr>
        <sz val="10"/>
        <rFont val="Noto Sans CJK SC"/>
        <family val="2"/>
      </rPr>
      <t xml:space="preserve">정식 파트넘버 없음 </t>
    </r>
    <r>
      <rPr>
        <sz val="10"/>
        <rFont val="Arial"/>
        <family val="2"/>
      </rPr>
      <t xml:space="preserve">- </t>
    </r>
    <r>
      <rPr>
        <sz val="10"/>
        <rFont val="Noto Sans CJK SC"/>
        <family val="2"/>
      </rPr>
      <t>파일명 기준 임시 부여</t>
    </r>
  </si>
  <si>
    <t>GEAR-1</t>
  </si>
  <si>
    <t>Spur Gear 1</t>
  </si>
  <si>
    <t>(1EA)Spur gear1.stl</t>
  </si>
  <si>
    <t>GEAR-2</t>
  </si>
  <si>
    <t>Spur Gear 2</t>
  </si>
  <si>
    <t>(1EA)Spur gear2.stl</t>
  </si>
  <si>
    <t>BALL-PI16</t>
  </si>
  <si>
    <t>Ball Joint (Dia.16)</t>
  </si>
  <si>
    <t>(26EA)Ball_Pi16.stl</t>
  </si>
  <si>
    <t>구형 조인트 볼로 추정</t>
  </si>
  <si>
    <t>1-DJB-00</t>
  </si>
  <si>
    <t>Dual Joint Box</t>
  </si>
  <si>
    <t>(2EA)1-DJB-00_Dual Joint Box.stl</t>
  </si>
  <si>
    <t>1-HC-00</t>
  </si>
  <si>
    <t>handle cover</t>
  </si>
  <si>
    <t>(2EA)1-HC-00_handle cover.stl</t>
  </si>
  <si>
    <t>GRIPPER-4</t>
  </si>
  <si>
    <t>Gripper (Type 4)</t>
  </si>
  <si>
    <t>(2EA)Gripper_4.stl</t>
  </si>
  <si>
    <t>1-IA-00</t>
  </si>
  <si>
    <t>Idler Arm</t>
  </si>
  <si>
    <t>(4EA)1-IA-00_Idler Arm.stl</t>
  </si>
  <si>
    <t>1-JB-00</t>
  </si>
  <si>
    <t>Joint Box</t>
  </si>
  <si>
    <t>(4EA)1-JB-00_Joint Box.stl</t>
  </si>
  <si>
    <t>1-SA-00</t>
  </si>
  <si>
    <t>(4EA)1-SA-00_Servo Arm.stl</t>
  </si>
  <si>
    <t>GRIPPER-3</t>
  </si>
  <si>
    <t>Gripper (Type 3)</t>
  </si>
  <si>
    <t>(4EA)Gripper_3.stl</t>
  </si>
  <si>
    <t>1-JBC-00</t>
  </si>
  <si>
    <t>(5EA)1-JBC-00_Joint Box Cover.stl</t>
  </si>
  <si>
    <r>
      <rPr>
        <sz val="10"/>
        <rFont val="Noto Sans CJK SC"/>
        <family val="2"/>
      </rPr>
      <t xml:space="preserve">리비전 </t>
    </r>
    <r>
      <rPr>
        <sz val="10"/>
        <rFont val="Arial"/>
        <family val="2"/>
      </rPr>
      <t>00 (1-JBC-01</t>
    </r>
    <r>
      <rPr>
        <sz val="10"/>
        <rFont val="Noto Sans CJK SC"/>
        <family val="2"/>
      </rPr>
      <t>과 치수 상이</t>
    </r>
    <r>
      <rPr>
        <sz val="10"/>
        <rFont val="Arial"/>
        <family val="2"/>
      </rPr>
      <t>)</t>
    </r>
  </si>
  <si>
    <t>FLOWERPOT-1</t>
  </si>
  <si>
    <r>
      <rPr>
        <sz val="10"/>
        <rFont val="Arial"/>
        <family val="2"/>
      </rPr>
      <t>Flowerpot 1 (</t>
    </r>
    <r>
      <rPr>
        <sz val="10"/>
        <rFont val="Noto Sans CJK SC"/>
        <family val="2"/>
      </rPr>
      <t>사본</t>
    </r>
    <r>
      <rPr>
        <sz val="10"/>
        <rFont val="Arial"/>
        <family val="2"/>
      </rPr>
      <t>)</t>
    </r>
  </si>
  <si>
    <t>(5EA)Flowerpot_1 (2).stl</t>
  </si>
  <si>
    <r>
      <rPr>
        <sz val="10"/>
        <rFont val="Arial"/>
        <family val="2"/>
      </rPr>
      <t>'Flowerpot_1.stl'</t>
    </r>
    <r>
      <rPr>
        <sz val="10"/>
        <rFont val="Noto Sans CJK SC"/>
        <family val="2"/>
      </rPr>
      <t>과 치수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부피 동일 </t>
    </r>
    <r>
      <rPr>
        <sz val="10"/>
        <rFont val="Arial"/>
        <family val="2"/>
      </rPr>
      <t xml:space="preserve">- </t>
    </r>
    <r>
      <rPr>
        <sz val="10"/>
        <rFont val="Noto Sans CJK SC"/>
        <family val="2"/>
      </rPr>
      <t>파일 중복 여부 확인 필요</t>
    </r>
  </si>
  <si>
    <t>Flowerpot 1</t>
  </si>
  <si>
    <t>(5EA)Flowerpot_1.stl</t>
  </si>
  <si>
    <r>
      <rPr>
        <sz val="10"/>
        <rFont val="Arial"/>
        <family val="2"/>
      </rPr>
      <t>'Flowerpot_1 (2).stl'</t>
    </r>
    <r>
      <rPr>
        <sz val="10"/>
        <rFont val="Noto Sans CJK SC"/>
        <family val="2"/>
      </rPr>
      <t>과 치수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부피 동일 </t>
    </r>
    <r>
      <rPr>
        <sz val="10"/>
        <rFont val="Arial"/>
        <family val="2"/>
      </rPr>
      <t xml:space="preserve">- </t>
    </r>
    <r>
      <rPr>
        <sz val="10"/>
        <rFont val="Noto Sans CJK SC"/>
        <family val="2"/>
      </rPr>
      <t>파일 중복 여부 확인 필요</t>
    </r>
  </si>
  <si>
    <t>1-SB-00</t>
  </si>
  <si>
    <t>Sensor Bracket</t>
  </si>
  <si>
    <t>(7EA)1-SB-00_Sensor Bracket.stl</t>
  </si>
  <si>
    <t>합계</t>
  </si>
  <si>
    <t>고유 파트 종류 수</t>
  </si>
  <si>
    <r>
      <rPr>
        <b/>
        <sz val="9"/>
        <color rgb="FF808080"/>
        <rFont val="Noto Sans CJK SC"/>
        <family val="2"/>
      </rPr>
      <t>참고 사항</t>
    </r>
    <r>
      <rPr>
        <b/>
        <sz val="9"/>
        <color rgb="FF808080"/>
        <rFont val="Arial"/>
        <family val="2"/>
      </rPr>
      <t>:</t>
    </r>
  </si>
  <si>
    <r>
      <rPr>
        <i/>
        <sz val="9"/>
        <color rgb="FF808080"/>
        <rFont val="Arial"/>
        <family val="2"/>
      </rPr>
      <t xml:space="preserve">1) </t>
    </r>
    <r>
      <rPr>
        <i/>
        <sz val="9"/>
        <color rgb="FF808080"/>
        <rFont val="Noto Sans CJK SC"/>
        <family val="2"/>
      </rPr>
      <t xml:space="preserve">부피는 각 </t>
    </r>
    <r>
      <rPr>
        <i/>
        <sz val="9"/>
        <color rgb="FF808080"/>
        <rFont val="Arial"/>
        <family val="2"/>
      </rPr>
      <t xml:space="preserve">STL </t>
    </r>
    <r>
      <rPr>
        <i/>
        <sz val="9"/>
        <color rgb="FF808080"/>
        <rFont val="Noto Sans CJK SC"/>
        <family val="2"/>
      </rPr>
      <t>메쉬의 바운딩 형상을 기준으로 산출한 설계상</t>
    </r>
    <r>
      <rPr>
        <i/>
        <sz val="9"/>
        <color rgb="FF808080"/>
        <rFont val="Arial"/>
        <family val="2"/>
      </rPr>
      <t>(</t>
    </r>
    <r>
      <rPr>
        <i/>
        <sz val="9"/>
        <color rgb="FF808080"/>
        <rFont val="Noto Sans CJK SC"/>
        <family val="2"/>
      </rPr>
      <t xml:space="preserve">솔리드 </t>
    </r>
    <r>
      <rPr>
        <i/>
        <sz val="9"/>
        <color rgb="FF808080"/>
        <rFont val="Arial"/>
        <family val="2"/>
      </rPr>
      <t xml:space="preserve">100%) </t>
    </r>
    <r>
      <rPr>
        <i/>
        <sz val="9"/>
        <color rgb="FF808080"/>
        <rFont val="Noto Sans CJK SC"/>
        <family val="2"/>
      </rPr>
      <t>부피이며</t>
    </r>
    <r>
      <rPr>
        <i/>
        <sz val="9"/>
        <color rgb="FF808080"/>
        <rFont val="Arial"/>
        <family val="2"/>
      </rPr>
      <t xml:space="preserve">, </t>
    </r>
    <r>
      <rPr>
        <i/>
        <sz val="9"/>
        <color rgb="FF808080"/>
        <rFont val="Noto Sans CJK SC"/>
        <family val="2"/>
      </rPr>
      <t xml:space="preserve">실제 </t>
    </r>
    <r>
      <rPr>
        <i/>
        <sz val="9"/>
        <color rgb="FF808080"/>
        <rFont val="Arial"/>
        <family val="2"/>
      </rPr>
      <t xml:space="preserve">FDM </t>
    </r>
    <r>
      <rPr>
        <i/>
        <sz val="9"/>
        <color rgb="FF808080"/>
        <rFont val="Noto Sans CJK SC"/>
        <family val="2"/>
      </rPr>
      <t>출력 중량은 인필</t>
    </r>
    <r>
      <rPr>
        <i/>
        <sz val="9"/>
        <color rgb="FF808080"/>
        <rFont val="Arial"/>
        <family val="2"/>
      </rPr>
      <t xml:space="preserve">(Infill) </t>
    </r>
    <r>
      <rPr>
        <i/>
        <sz val="9"/>
        <color rgb="FF808080"/>
        <rFont val="Noto Sans CJK SC"/>
        <family val="2"/>
      </rPr>
      <t>비율</t>
    </r>
    <r>
      <rPr>
        <i/>
        <sz val="9"/>
        <color rgb="FF808080"/>
        <rFont val="Arial"/>
        <family val="2"/>
      </rPr>
      <t>·</t>
    </r>
    <r>
      <rPr>
        <i/>
        <sz val="9"/>
        <color rgb="FF808080"/>
        <rFont val="Noto Sans CJK SC"/>
        <family val="2"/>
      </rPr>
      <t>쉘 두께에 따라 이보다 작습니다</t>
    </r>
    <r>
      <rPr>
        <i/>
        <sz val="9"/>
        <color rgb="FF808080"/>
        <rFont val="Arial"/>
        <family val="2"/>
      </rPr>
      <t xml:space="preserve">. </t>
    </r>
    <r>
      <rPr>
        <i/>
        <sz val="9"/>
        <color rgb="FF808080"/>
        <rFont val="Noto Sans CJK SC"/>
        <family val="2"/>
      </rPr>
      <t xml:space="preserve">위 </t>
    </r>
    <r>
      <rPr>
        <i/>
        <sz val="9"/>
        <color rgb="FF808080"/>
        <rFont val="Arial"/>
        <family val="2"/>
      </rPr>
      <t>'</t>
    </r>
    <r>
      <rPr>
        <i/>
        <sz val="9"/>
        <color rgb="FF808080"/>
        <rFont val="Noto Sans CJK SC"/>
        <family val="2"/>
      </rPr>
      <t>예상중량</t>
    </r>
    <r>
      <rPr>
        <i/>
        <sz val="9"/>
        <color rgb="FF808080"/>
        <rFont val="Arial"/>
        <family val="2"/>
      </rPr>
      <t>'</t>
    </r>
    <r>
      <rPr>
        <i/>
        <sz val="9"/>
        <color rgb="FF808080"/>
        <rFont val="Noto Sans CJK SC"/>
        <family val="2"/>
      </rPr>
      <t xml:space="preserve">은 </t>
    </r>
    <r>
      <rPr>
        <i/>
        <sz val="9"/>
        <color rgb="FF808080"/>
        <rFont val="Arial"/>
        <family val="2"/>
      </rPr>
      <t xml:space="preserve">100% </t>
    </r>
    <r>
      <rPr>
        <i/>
        <sz val="9"/>
        <color rgb="FF808080"/>
        <rFont val="Noto Sans CJK SC"/>
        <family val="2"/>
      </rPr>
      <t>솔리드 기준 상한값입니다</t>
    </r>
    <r>
      <rPr>
        <i/>
        <sz val="9"/>
        <color rgb="FF808080"/>
        <rFont val="Arial"/>
        <family val="2"/>
      </rPr>
      <t>.</t>
    </r>
  </si>
  <si>
    <r>
      <rPr>
        <i/>
        <sz val="9"/>
        <color rgb="FF808080"/>
        <rFont val="Arial"/>
        <family val="2"/>
      </rPr>
      <t>2) 'Idler Block'(00/01), 'Servo Arm'(00/01/02), 'Joint Box Cover'(00/01)</t>
    </r>
    <r>
      <rPr>
        <i/>
        <sz val="9"/>
        <color rgb="FF808080"/>
        <rFont val="Noto Sans CJK SC"/>
        <family val="2"/>
      </rPr>
      <t>는 리비전</t>
    </r>
    <r>
      <rPr>
        <i/>
        <sz val="9"/>
        <color rgb="FF808080"/>
        <rFont val="Arial"/>
        <family val="2"/>
      </rPr>
      <t>(</t>
    </r>
    <r>
      <rPr>
        <i/>
        <sz val="9"/>
        <color rgb="FF808080"/>
        <rFont val="Noto Sans CJK SC"/>
        <family val="2"/>
      </rPr>
      <t>개정</t>
    </r>
    <r>
      <rPr>
        <i/>
        <sz val="9"/>
        <color rgb="FF808080"/>
        <rFont val="Arial"/>
        <family val="2"/>
      </rPr>
      <t xml:space="preserve">) </t>
    </r>
    <r>
      <rPr>
        <i/>
        <sz val="9"/>
        <color rgb="FF808080"/>
        <rFont val="Noto Sans CJK SC"/>
        <family val="2"/>
      </rPr>
      <t>넘버가 다른 유사 형상으로</t>
    </r>
    <r>
      <rPr>
        <i/>
        <sz val="9"/>
        <color rgb="FF808080"/>
        <rFont val="Arial"/>
        <family val="2"/>
      </rPr>
      <t xml:space="preserve">, </t>
    </r>
    <r>
      <rPr>
        <i/>
        <sz val="9"/>
        <color rgb="FF808080"/>
        <rFont val="Noto Sans CJK SC"/>
        <family val="2"/>
      </rPr>
      <t>실제 조립 도면상 사용처를 확인해야 합니다</t>
    </r>
    <r>
      <rPr>
        <i/>
        <sz val="9"/>
        <color rgb="FF808080"/>
        <rFont val="Arial"/>
        <family val="2"/>
      </rPr>
      <t>.</t>
    </r>
  </si>
  <si>
    <r>
      <rPr>
        <i/>
        <sz val="9"/>
        <color rgb="FF808080"/>
        <rFont val="Arial"/>
        <family val="2"/>
      </rPr>
      <t>3) 'Flowerpot_1.stl'</t>
    </r>
    <r>
      <rPr>
        <i/>
        <sz val="9"/>
        <color rgb="FF808080"/>
        <rFont val="Noto Sans CJK SC"/>
        <family val="2"/>
      </rPr>
      <t xml:space="preserve">과 </t>
    </r>
    <r>
      <rPr>
        <i/>
        <sz val="9"/>
        <color rgb="FF808080"/>
        <rFont val="Arial"/>
        <family val="2"/>
      </rPr>
      <t>'Flowerpot_1 (2).stl'</t>
    </r>
    <r>
      <rPr>
        <i/>
        <sz val="9"/>
        <color rgb="FF808080"/>
        <rFont val="Noto Sans CJK SC"/>
        <family val="2"/>
      </rPr>
      <t>은 치수</t>
    </r>
    <r>
      <rPr>
        <i/>
        <sz val="9"/>
        <color rgb="FF808080"/>
        <rFont val="Arial"/>
        <family val="2"/>
      </rPr>
      <t>·</t>
    </r>
    <r>
      <rPr>
        <i/>
        <sz val="9"/>
        <color rgb="FF808080"/>
        <rFont val="Noto Sans CJK SC"/>
        <family val="2"/>
      </rPr>
      <t>부피가 완전히 동일하여 파일 중복 저장 가능성이 있습니다</t>
    </r>
    <r>
      <rPr>
        <i/>
        <sz val="9"/>
        <color rgb="FF808080"/>
        <rFont val="Arial"/>
        <family val="2"/>
      </rPr>
      <t>.</t>
    </r>
  </si>
  <si>
    <r>
      <rPr>
        <i/>
        <sz val="9"/>
        <color rgb="FF808080"/>
        <rFont val="Arial"/>
        <family val="2"/>
      </rPr>
      <t xml:space="preserve">4) Gripper, Spur Gear, Ball </t>
    </r>
    <r>
      <rPr>
        <i/>
        <sz val="9"/>
        <color rgb="FF808080"/>
        <rFont val="Noto Sans CJK SC"/>
        <family val="2"/>
      </rPr>
      <t xml:space="preserve">항목은 </t>
    </r>
    <r>
      <rPr>
        <i/>
        <sz val="9"/>
        <color rgb="FF808080"/>
        <rFont val="Arial"/>
        <family val="2"/>
      </rPr>
      <t xml:space="preserve">CAD </t>
    </r>
    <r>
      <rPr>
        <i/>
        <sz val="9"/>
        <color rgb="FF808080"/>
        <rFont val="Noto Sans CJK SC"/>
        <family val="2"/>
      </rPr>
      <t>도면상 정식 파트넘버가 부여되어 있지 않아 파일명 기준으로 임시 코드를 부여했습니다</t>
    </r>
    <r>
      <rPr>
        <i/>
        <sz val="9"/>
        <color rgb="FF808080"/>
        <rFont val="Arial"/>
        <family val="2"/>
      </rPr>
      <t>.</t>
    </r>
  </si>
  <si>
    <r>
      <rPr>
        <i/>
        <sz val="9"/>
        <color rgb="FF808080"/>
        <rFont val="Arial"/>
        <family val="2"/>
      </rPr>
      <t xml:space="preserve">5) </t>
    </r>
    <r>
      <rPr>
        <i/>
        <sz val="9"/>
        <color rgb="FF808080"/>
        <rFont val="Noto Sans CJK SC"/>
        <family val="2"/>
      </rPr>
      <t>재질 밀도</t>
    </r>
    <r>
      <rPr>
        <i/>
        <sz val="9"/>
        <color rgb="FF808080"/>
        <rFont val="Arial"/>
        <family val="2"/>
      </rPr>
      <t xml:space="preserve">(B4 </t>
    </r>
    <r>
      <rPr>
        <i/>
        <sz val="9"/>
        <color rgb="FF808080"/>
        <rFont val="Noto Sans CJK SC"/>
        <family val="2"/>
      </rPr>
      <t>셀</t>
    </r>
    <r>
      <rPr>
        <i/>
        <sz val="9"/>
        <color rgb="FF808080"/>
        <rFont val="Arial"/>
        <family val="2"/>
      </rPr>
      <t>)</t>
    </r>
    <r>
      <rPr>
        <i/>
        <sz val="9"/>
        <color rgb="FF808080"/>
        <rFont val="Noto Sans CJK SC"/>
        <family val="2"/>
      </rPr>
      <t>를 실제 사용 필라멘트에 맞게 변경하면 중량 열이 자동으로 재계산됩니다</t>
    </r>
    <r>
      <rPr>
        <i/>
        <sz val="9"/>
        <color rgb="FF808080"/>
        <rFont val="Arial"/>
        <family val="2"/>
      </rPr>
      <t>.</t>
    </r>
  </si>
  <si>
    <t>실물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</si>
</sst>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808080"/>
      <name val="Noto Sans CJK SC"/>
      <family val="2"/>
    </font>
    <font>
      <i/>
      <sz val="9"/>
      <color rgb="FF808080"/>
      <name val="Arial"/>
      <family val="2"/>
    </font>
    <font>
      <b/>
      <sz val="10"/>
      <name val="Noto Sans CJK SC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Noto Sans CJK SC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name val="Noto Sans CJK SC"/>
      <family val="2"/>
    </font>
    <font>
      <i/>
      <sz val="10"/>
      <name val="Noto Sans CJK SC"/>
      <family val="2"/>
    </font>
    <font>
      <i/>
      <sz val="10"/>
      <name val="Arial"/>
      <family val="2"/>
    </font>
    <font>
      <b/>
      <sz val="9"/>
      <color rgb="FF808080"/>
      <name val="Noto Sans CJK SC"/>
      <family val="2"/>
    </font>
    <font>
      <b/>
      <sz val="9"/>
      <color rgb="FF808080"/>
      <name val="Arial"/>
      <family val="2"/>
    </font>
    <font>
      <sz val="8"/>
      <name val="돋움"/>
      <family val="3"/>
      <charset val="129"/>
    </font>
    <font>
      <sz val="11"/>
      <color theme="1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F5233"/>
        <bgColor rgb="FF333300"/>
      </patternFill>
    </fill>
    <fill>
      <patternFill patternType="solid">
        <fgColor rgb="FFD9D9D9"/>
        <bgColor rgb="FFBFBFB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14" fillId="0" borderId="0" xfId="0" applyFont="1"/>
    <xf numFmtId="0" fontId="12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0" fontId="4" fillId="0" borderId="0" xfId="0" applyFont="1"/>
    <xf numFmtId="0" fontId="6" fillId="2" borderId="0" xfId="0" applyFont="1" applyFill="1"/>
    <xf numFmtId="0" fontId="3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3" fontId="5" fillId="4" borderId="1" xfId="0" applyNumberFormat="1" applyFont="1" applyFill="1" applyBorder="1"/>
    <xf numFmtId="0" fontId="5" fillId="4" borderId="1" xfId="0" applyFont="1" applyFill="1" applyBorder="1"/>
    <xf numFmtId="4" fontId="5" fillId="4" borderId="1" xfId="0" applyNumberFormat="1" applyFont="1" applyFill="1" applyBorder="1"/>
    <xf numFmtId="0" fontId="13" fillId="0" borderId="0" xfId="0" applyFont="1"/>
    <xf numFmtId="0" fontId="17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tabSelected="1" zoomScale="70" zoomScaleNormal="70" workbookViewId="0">
      <pane ySplit="6" topLeftCell="A7" activePane="bottomLeft" state="frozen"/>
      <selection pane="bottomLeft" activeCell="O6" sqref="O6"/>
    </sheetView>
  </sheetViews>
  <sheetFormatPr defaultColWidth="8.6640625" defaultRowHeight="14.4"/>
  <cols>
    <col min="1" max="1" width="5" customWidth="1"/>
    <col min="2" max="2" width="13" customWidth="1"/>
    <col min="3" max="3" width="20" customWidth="1"/>
    <col min="4" max="4" width="32" customWidth="1"/>
    <col min="5" max="8" width="8" customWidth="1"/>
    <col min="9" max="10" width="11" customWidth="1"/>
    <col min="11" max="12" width="12" customWidth="1"/>
    <col min="13" max="13" width="34" customWidth="1"/>
  </cols>
  <sheetData>
    <row r="1" spans="1:14" ht="17.399999999999999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4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4" spans="1:14">
      <c r="A4" s="7" t="s">
        <v>2</v>
      </c>
      <c r="B4" s="8">
        <v>1.24</v>
      </c>
      <c r="C4" s="9" t="s">
        <v>3</v>
      </c>
    </row>
    <row r="6" spans="1:14" ht="30" customHeight="1">
      <c r="A6" s="10" t="s">
        <v>4</v>
      </c>
      <c r="B6" s="10" t="s">
        <v>5</v>
      </c>
      <c r="C6" s="10" t="s">
        <v>6</v>
      </c>
      <c r="D6" s="11" t="s">
        <v>7</v>
      </c>
      <c r="E6" s="11" t="s">
        <v>8</v>
      </c>
      <c r="F6" s="10" t="s">
        <v>9</v>
      </c>
      <c r="G6" s="10" t="s">
        <v>10</v>
      </c>
      <c r="H6" s="10" t="s">
        <v>11</v>
      </c>
      <c r="I6" s="11" t="s">
        <v>12</v>
      </c>
      <c r="J6" s="11" t="s">
        <v>13</v>
      </c>
      <c r="K6" s="11" t="s">
        <v>14</v>
      </c>
      <c r="L6" s="11" t="s">
        <v>15</v>
      </c>
      <c r="M6" s="11" t="s">
        <v>16</v>
      </c>
      <c r="N6" s="21" t="s">
        <v>123</v>
      </c>
    </row>
    <row r="7" spans="1:14">
      <c r="A7" s="12">
        <v>1</v>
      </c>
      <c r="B7" s="13" t="s">
        <v>17</v>
      </c>
      <c r="C7" s="13" t="s">
        <v>18</v>
      </c>
      <c r="D7" s="13" t="s">
        <v>19</v>
      </c>
      <c r="E7" s="14">
        <v>1</v>
      </c>
      <c r="F7" s="14">
        <v>4</v>
      </c>
      <c r="G7" s="14">
        <v>18</v>
      </c>
      <c r="H7" s="14">
        <v>84</v>
      </c>
      <c r="I7" s="14">
        <v>3.27</v>
      </c>
      <c r="J7" s="15">
        <f t="shared" ref="J7:J37" si="0">E7*I7</f>
        <v>3.27</v>
      </c>
      <c r="K7" s="15">
        <f t="shared" ref="K7:K37" si="1">I7*$B$4</f>
        <v>4.0548000000000002</v>
      </c>
      <c r="L7" s="15">
        <f t="shared" ref="L7:L37" si="2">E7*K7</f>
        <v>4.0548000000000002</v>
      </c>
      <c r="M7" s="13"/>
    </row>
    <row r="8" spans="1:14">
      <c r="A8" s="12">
        <v>2</v>
      </c>
      <c r="B8" s="13" t="s">
        <v>20</v>
      </c>
      <c r="C8" s="13" t="s">
        <v>21</v>
      </c>
      <c r="D8" s="13" t="s">
        <v>22</v>
      </c>
      <c r="E8" s="14">
        <v>1</v>
      </c>
      <c r="F8" s="14">
        <v>34</v>
      </c>
      <c r="G8" s="14">
        <v>113</v>
      </c>
      <c r="H8" s="14">
        <v>110</v>
      </c>
      <c r="I8" s="14">
        <v>42.27</v>
      </c>
      <c r="J8" s="15">
        <f t="shared" si="0"/>
        <v>42.27</v>
      </c>
      <c r="K8" s="15">
        <f t="shared" si="1"/>
        <v>52.414800000000007</v>
      </c>
      <c r="L8" s="15">
        <f t="shared" si="2"/>
        <v>52.414800000000007</v>
      </c>
      <c r="M8" s="13"/>
    </row>
    <row r="9" spans="1:14">
      <c r="A9" s="12">
        <v>3</v>
      </c>
      <c r="B9" s="13" t="s">
        <v>23</v>
      </c>
      <c r="C9" s="13" t="s">
        <v>24</v>
      </c>
      <c r="D9" s="13" t="s">
        <v>25</v>
      </c>
      <c r="E9" s="14">
        <v>1</v>
      </c>
      <c r="F9" s="14">
        <v>128</v>
      </c>
      <c r="G9" s="14">
        <v>25.5</v>
      </c>
      <c r="H9" s="14">
        <v>84</v>
      </c>
      <c r="I9" s="14">
        <v>113.4</v>
      </c>
      <c r="J9" s="15">
        <f t="shared" si="0"/>
        <v>113.4</v>
      </c>
      <c r="K9" s="15">
        <f t="shared" si="1"/>
        <v>140.61600000000001</v>
      </c>
      <c r="L9" s="15">
        <f t="shared" si="2"/>
        <v>140.61600000000001</v>
      </c>
      <c r="M9" s="13"/>
    </row>
    <row r="10" spans="1:14" ht="26.4">
      <c r="A10" s="12">
        <v>4</v>
      </c>
      <c r="B10" s="13" t="s">
        <v>26</v>
      </c>
      <c r="C10" s="13" t="s">
        <v>27</v>
      </c>
      <c r="D10" s="13" t="s">
        <v>28</v>
      </c>
      <c r="E10" s="14">
        <v>1</v>
      </c>
      <c r="F10" s="14">
        <v>34</v>
      </c>
      <c r="G10" s="14">
        <v>22</v>
      </c>
      <c r="H10" s="14">
        <v>76</v>
      </c>
      <c r="I10" s="14">
        <v>20.75</v>
      </c>
      <c r="J10" s="15">
        <f t="shared" si="0"/>
        <v>20.75</v>
      </c>
      <c r="K10" s="15">
        <f t="shared" si="1"/>
        <v>25.73</v>
      </c>
      <c r="L10" s="15">
        <f t="shared" si="2"/>
        <v>25.73</v>
      </c>
      <c r="M10" s="13"/>
    </row>
    <row r="11" spans="1:14" ht="26.4">
      <c r="A11" s="12">
        <v>5</v>
      </c>
      <c r="B11" s="13" t="s">
        <v>29</v>
      </c>
      <c r="C11" s="13" t="s">
        <v>30</v>
      </c>
      <c r="D11" s="13" t="s">
        <v>31</v>
      </c>
      <c r="E11" s="14">
        <v>1</v>
      </c>
      <c r="F11" s="14">
        <v>216</v>
      </c>
      <c r="G11" s="14">
        <v>28</v>
      </c>
      <c r="H11" s="14">
        <v>170</v>
      </c>
      <c r="I11" s="14">
        <v>330.77</v>
      </c>
      <c r="J11" s="15">
        <f t="shared" si="0"/>
        <v>330.77</v>
      </c>
      <c r="K11" s="15">
        <f t="shared" si="1"/>
        <v>410.15479999999997</v>
      </c>
      <c r="L11" s="15">
        <f t="shared" si="2"/>
        <v>410.15479999999997</v>
      </c>
      <c r="M11" s="13"/>
    </row>
    <row r="12" spans="1:14" ht="26.4">
      <c r="A12" s="12">
        <v>6</v>
      </c>
      <c r="B12" s="13" t="s">
        <v>32</v>
      </c>
      <c r="C12" s="13" t="s">
        <v>33</v>
      </c>
      <c r="D12" s="13" t="s">
        <v>34</v>
      </c>
      <c r="E12" s="14">
        <v>1</v>
      </c>
      <c r="F12" s="14">
        <v>50</v>
      </c>
      <c r="G12" s="14">
        <v>10</v>
      </c>
      <c r="H12" s="14">
        <v>30</v>
      </c>
      <c r="I12" s="14">
        <v>13.31</v>
      </c>
      <c r="J12" s="15">
        <f t="shared" si="0"/>
        <v>13.31</v>
      </c>
      <c r="K12" s="15">
        <f t="shared" si="1"/>
        <v>16.5044</v>
      </c>
      <c r="L12" s="15">
        <f t="shared" si="2"/>
        <v>16.5044</v>
      </c>
      <c r="M12" s="16" t="s">
        <v>35</v>
      </c>
    </row>
    <row r="13" spans="1:14" ht="26.4">
      <c r="A13" s="12">
        <v>7</v>
      </c>
      <c r="B13" s="13" t="s">
        <v>36</v>
      </c>
      <c r="C13" s="13" t="s">
        <v>33</v>
      </c>
      <c r="D13" s="13" t="s">
        <v>37</v>
      </c>
      <c r="E13" s="14">
        <v>1</v>
      </c>
      <c r="F13" s="14">
        <v>50</v>
      </c>
      <c r="G13" s="14">
        <v>18</v>
      </c>
      <c r="H13" s="14">
        <v>30</v>
      </c>
      <c r="I13" s="14">
        <v>13.84</v>
      </c>
      <c r="J13" s="15">
        <f t="shared" si="0"/>
        <v>13.84</v>
      </c>
      <c r="K13" s="15">
        <f t="shared" si="1"/>
        <v>17.1616</v>
      </c>
      <c r="L13" s="15">
        <f t="shared" si="2"/>
        <v>17.1616</v>
      </c>
      <c r="M13" s="16" t="s">
        <v>38</v>
      </c>
    </row>
    <row r="14" spans="1:14">
      <c r="A14" s="12">
        <v>8</v>
      </c>
      <c r="B14" s="13" t="s">
        <v>39</v>
      </c>
      <c r="C14" s="13" t="s">
        <v>40</v>
      </c>
      <c r="D14" s="13" t="s">
        <v>41</v>
      </c>
      <c r="E14" s="14">
        <v>1</v>
      </c>
      <c r="F14" s="14">
        <v>60</v>
      </c>
      <c r="G14" s="14">
        <v>90</v>
      </c>
      <c r="H14" s="14">
        <v>7</v>
      </c>
      <c r="I14" s="14">
        <v>11.01</v>
      </c>
      <c r="J14" s="15">
        <f t="shared" si="0"/>
        <v>11.01</v>
      </c>
      <c r="K14" s="15">
        <f t="shared" si="1"/>
        <v>13.6524</v>
      </c>
      <c r="L14" s="15">
        <f t="shared" si="2"/>
        <v>13.6524</v>
      </c>
      <c r="M14" s="16" t="s">
        <v>42</v>
      </c>
    </row>
    <row r="15" spans="1:14">
      <c r="A15" s="12">
        <v>9</v>
      </c>
      <c r="B15" s="13" t="s">
        <v>43</v>
      </c>
      <c r="C15" s="13" t="s">
        <v>44</v>
      </c>
      <c r="D15" s="13" t="s">
        <v>45</v>
      </c>
      <c r="E15" s="14">
        <v>1</v>
      </c>
      <c r="F15" s="14">
        <v>62</v>
      </c>
      <c r="G15" s="14">
        <v>10</v>
      </c>
      <c r="H15" s="14">
        <v>42</v>
      </c>
      <c r="I15" s="14">
        <v>20.37</v>
      </c>
      <c r="J15" s="15">
        <f t="shared" si="0"/>
        <v>20.37</v>
      </c>
      <c r="K15" s="15">
        <f t="shared" si="1"/>
        <v>25.258800000000001</v>
      </c>
      <c r="L15" s="15">
        <f t="shared" si="2"/>
        <v>25.258800000000001</v>
      </c>
      <c r="M15" s="16" t="s">
        <v>46</v>
      </c>
    </row>
    <row r="16" spans="1:14">
      <c r="A16" s="12">
        <v>10</v>
      </c>
      <c r="B16" s="13" t="s">
        <v>47</v>
      </c>
      <c r="C16" s="13" t="s">
        <v>44</v>
      </c>
      <c r="D16" s="13" t="s">
        <v>48</v>
      </c>
      <c r="E16" s="14">
        <v>1</v>
      </c>
      <c r="F16" s="14">
        <v>62</v>
      </c>
      <c r="G16" s="14">
        <v>18</v>
      </c>
      <c r="H16" s="14">
        <v>30</v>
      </c>
      <c r="I16" s="14">
        <v>15.23</v>
      </c>
      <c r="J16" s="15">
        <f t="shared" si="0"/>
        <v>15.23</v>
      </c>
      <c r="K16" s="15">
        <f t="shared" si="1"/>
        <v>18.885200000000001</v>
      </c>
      <c r="L16" s="15">
        <f t="shared" si="2"/>
        <v>18.885200000000001</v>
      </c>
      <c r="M16" s="16" t="s">
        <v>49</v>
      </c>
    </row>
    <row r="17" spans="1:13">
      <c r="A17" s="12">
        <v>11</v>
      </c>
      <c r="B17" s="13" t="s">
        <v>50</v>
      </c>
      <c r="C17" s="13" t="s">
        <v>51</v>
      </c>
      <c r="D17" s="13" t="s">
        <v>52</v>
      </c>
      <c r="E17" s="14">
        <v>1</v>
      </c>
      <c r="F17" s="14">
        <v>25</v>
      </c>
      <c r="G17" s="14">
        <v>17.5</v>
      </c>
      <c r="H17" s="14">
        <v>12.5</v>
      </c>
      <c r="I17" s="14">
        <v>2.87</v>
      </c>
      <c r="J17" s="15">
        <f t="shared" si="0"/>
        <v>2.87</v>
      </c>
      <c r="K17" s="15">
        <f t="shared" si="1"/>
        <v>3.5588000000000002</v>
      </c>
      <c r="L17" s="15">
        <f t="shared" si="2"/>
        <v>3.5588000000000002</v>
      </c>
      <c r="M17" s="13"/>
    </row>
    <row r="18" spans="1:13">
      <c r="A18" s="12">
        <v>12</v>
      </c>
      <c r="B18" s="13" t="s">
        <v>53</v>
      </c>
      <c r="C18" s="13" t="s">
        <v>54</v>
      </c>
      <c r="D18" s="13" t="s">
        <v>55</v>
      </c>
      <c r="E18" s="14">
        <v>1</v>
      </c>
      <c r="F18" s="14">
        <v>30</v>
      </c>
      <c r="G18" s="14">
        <v>54.9</v>
      </c>
      <c r="H18" s="14">
        <v>15.5</v>
      </c>
      <c r="I18" s="14">
        <v>16.04</v>
      </c>
      <c r="J18" s="15">
        <f t="shared" si="0"/>
        <v>16.04</v>
      </c>
      <c r="K18" s="15">
        <f t="shared" si="1"/>
        <v>19.889599999999998</v>
      </c>
      <c r="L18" s="15">
        <f t="shared" si="2"/>
        <v>19.889599999999998</v>
      </c>
      <c r="M18" s="16" t="s">
        <v>49</v>
      </c>
    </row>
    <row r="19" spans="1:13">
      <c r="A19" s="12">
        <v>13</v>
      </c>
      <c r="B19" s="13" t="s">
        <v>56</v>
      </c>
      <c r="C19" s="13" t="s">
        <v>54</v>
      </c>
      <c r="D19" s="13" t="s">
        <v>57</v>
      </c>
      <c r="E19" s="14">
        <v>1</v>
      </c>
      <c r="F19" s="14">
        <v>30</v>
      </c>
      <c r="G19" s="14">
        <v>54.9</v>
      </c>
      <c r="H19" s="14">
        <v>19</v>
      </c>
      <c r="I19" s="14">
        <v>16.309999999999999</v>
      </c>
      <c r="J19" s="15">
        <f t="shared" si="0"/>
        <v>16.309999999999999</v>
      </c>
      <c r="K19" s="15">
        <f t="shared" si="1"/>
        <v>20.224399999999999</v>
      </c>
      <c r="L19" s="15">
        <f t="shared" si="2"/>
        <v>20.224399999999999</v>
      </c>
      <c r="M19" s="16" t="s">
        <v>58</v>
      </c>
    </row>
    <row r="20" spans="1:13">
      <c r="A20" s="12">
        <v>14</v>
      </c>
      <c r="B20" s="13" t="s">
        <v>59</v>
      </c>
      <c r="C20" s="13" t="s">
        <v>60</v>
      </c>
      <c r="D20" s="13" t="s">
        <v>61</v>
      </c>
      <c r="E20" s="14">
        <v>1</v>
      </c>
      <c r="F20" s="14">
        <v>10</v>
      </c>
      <c r="G20" s="14">
        <v>33</v>
      </c>
      <c r="H20" s="14">
        <v>9</v>
      </c>
      <c r="I20" s="14">
        <v>1.97</v>
      </c>
      <c r="J20" s="15">
        <f t="shared" si="0"/>
        <v>1.97</v>
      </c>
      <c r="K20" s="15">
        <f t="shared" si="1"/>
        <v>2.4428000000000001</v>
      </c>
      <c r="L20" s="15">
        <f t="shared" si="2"/>
        <v>2.4428000000000001</v>
      </c>
      <c r="M20" s="13"/>
    </row>
    <row r="21" spans="1:13">
      <c r="A21" s="12">
        <v>15</v>
      </c>
      <c r="B21" s="13" t="s">
        <v>62</v>
      </c>
      <c r="C21" s="13" t="s">
        <v>63</v>
      </c>
      <c r="D21" s="13" t="s">
        <v>64</v>
      </c>
      <c r="E21" s="14">
        <v>1</v>
      </c>
      <c r="F21" s="14">
        <v>225</v>
      </c>
      <c r="G21" s="14">
        <v>58</v>
      </c>
      <c r="H21" s="14">
        <v>169.9</v>
      </c>
      <c r="I21" s="14">
        <v>637.42999999999995</v>
      </c>
      <c r="J21" s="15">
        <f t="shared" si="0"/>
        <v>637.42999999999995</v>
      </c>
      <c r="K21" s="15">
        <f t="shared" si="1"/>
        <v>790.41319999999996</v>
      </c>
      <c r="L21" s="15">
        <f t="shared" si="2"/>
        <v>790.41319999999996</v>
      </c>
      <c r="M21" s="13"/>
    </row>
    <row r="22" spans="1:13">
      <c r="A22" s="12">
        <v>16</v>
      </c>
      <c r="B22" s="13" t="s">
        <v>65</v>
      </c>
      <c r="C22" s="13" t="s">
        <v>66</v>
      </c>
      <c r="D22" s="13" t="s">
        <v>67</v>
      </c>
      <c r="E22" s="14">
        <v>1</v>
      </c>
      <c r="F22" s="14">
        <v>30</v>
      </c>
      <c r="G22" s="14">
        <v>15</v>
      </c>
      <c r="H22" s="14">
        <v>52</v>
      </c>
      <c r="I22" s="14">
        <v>15.52</v>
      </c>
      <c r="J22" s="15">
        <f t="shared" si="0"/>
        <v>15.52</v>
      </c>
      <c r="K22" s="15">
        <f t="shared" si="1"/>
        <v>19.244799999999998</v>
      </c>
      <c r="L22" s="15">
        <f t="shared" si="2"/>
        <v>19.244799999999998</v>
      </c>
      <c r="M22" s="13"/>
    </row>
    <row r="23" spans="1:13" ht="26.4">
      <c r="A23" s="12">
        <v>17</v>
      </c>
      <c r="B23" s="13" t="s">
        <v>68</v>
      </c>
      <c r="C23" s="13" t="s">
        <v>69</v>
      </c>
      <c r="D23" s="13" t="s">
        <v>70</v>
      </c>
      <c r="E23" s="14">
        <v>1</v>
      </c>
      <c r="F23" s="14">
        <v>70</v>
      </c>
      <c r="G23" s="14">
        <v>64.5</v>
      </c>
      <c r="H23" s="14">
        <v>120</v>
      </c>
      <c r="I23" s="14">
        <v>96.21</v>
      </c>
      <c r="J23" s="15">
        <f t="shared" si="0"/>
        <v>96.21</v>
      </c>
      <c r="K23" s="15">
        <f t="shared" si="1"/>
        <v>119.3004</v>
      </c>
      <c r="L23" s="15">
        <f t="shared" si="2"/>
        <v>119.3004</v>
      </c>
      <c r="M23" s="16" t="s">
        <v>71</v>
      </c>
    </row>
    <row r="24" spans="1:13" ht="26.4">
      <c r="A24" s="12">
        <v>18</v>
      </c>
      <c r="B24" s="13" t="s">
        <v>72</v>
      </c>
      <c r="C24" s="13" t="s">
        <v>73</v>
      </c>
      <c r="D24" s="13" t="s">
        <v>74</v>
      </c>
      <c r="E24" s="14">
        <v>1</v>
      </c>
      <c r="F24" s="14">
        <v>34</v>
      </c>
      <c r="G24" s="14">
        <v>63.9</v>
      </c>
      <c r="H24" s="14">
        <v>11</v>
      </c>
      <c r="I24" s="14">
        <v>11.07</v>
      </c>
      <c r="J24" s="15">
        <f t="shared" si="0"/>
        <v>11.07</v>
      </c>
      <c r="K24" s="15">
        <f t="shared" si="1"/>
        <v>13.726800000000001</v>
      </c>
      <c r="L24" s="15">
        <f t="shared" si="2"/>
        <v>13.726800000000001</v>
      </c>
      <c r="M24" s="16" t="s">
        <v>71</v>
      </c>
    </row>
    <row r="25" spans="1:13" ht="26.4">
      <c r="A25" s="12">
        <v>19</v>
      </c>
      <c r="B25" s="13" t="s">
        <v>75</v>
      </c>
      <c r="C25" s="13" t="s">
        <v>76</v>
      </c>
      <c r="D25" s="13" t="s">
        <v>77</v>
      </c>
      <c r="E25" s="14">
        <v>1</v>
      </c>
      <c r="F25" s="14">
        <v>34</v>
      </c>
      <c r="G25" s="14">
        <v>63.1</v>
      </c>
      <c r="H25" s="14">
        <v>10</v>
      </c>
      <c r="I25" s="14">
        <v>10.73</v>
      </c>
      <c r="J25" s="15">
        <f t="shared" si="0"/>
        <v>10.73</v>
      </c>
      <c r="K25" s="15">
        <f t="shared" si="1"/>
        <v>13.305200000000001</v>
      </c>
      <c r="L25" s="15">
        <f t="shared" si="2"/>
        <v>13.305200000000001</v>
      </c>
      <c r="M25" s="16" t="s">
        <v>71</v>
      </c>
    </row>
    <row r="26" spans="1:13">
      <c r="A26" s="12">
        <v>20</v>
      </c>
      <c r="B26" s="13" t="s">
        <v>78</v>
      </c>
      <c r="C26" s="13" t="s">
        <v>79</v>
      </c>
      <c r="D26" s="13" t="s">
        <v>80</v>
      </c>
      <c r="E26" s="14">
        <v>26</v>
      </c>
      <c r="F26" s="14">
        <v>16.100000000000001</v>
      </c>
      <c r="G26" s="14">
        <v>16.100000000000001</v>
      </c>
      <c r="H26" s="14">
        <v>16.2</v>
      </c>
      <c r="I26" s="14">
        <v>2.2000000000000002</v>
      </c>
      <c r="J26" s="15">
        <f t="shared" si="0"/>
        <v>57.2</v>
      </c>
      <c r="K26" s="15">
        <f t="shared" si="1"/>
        <v>2.7280000000000002</v>
      </c>
      <c r="L26" s="15">
        <f t="shared" si="2"/>
        <v>70.928000000000011</v>
      </c>
      <c r="M26" s="16" t="s">
        <v>81</v>
      </c>
    </row>
    <row r="27" spans="1:13">
      <c r="A27" s="12">
        <v>21</v>
      </c>
      <c r="B27" s="13" t="s">
        <v>82</v>
      </c>
      <c r="C27" s="13" t="s">
        <v>83</v>
      </c>
      <c r="D27" s="13" t="s">
        <v>84</v>
      </c>
      <c r="E27" s="14">
        <v>2</v>
      </c>
      <c r="F27" s="14">
        <v>60</v>
      </c>
      <c r="G27" s="14">
        <v>98</v>
      </c>
      <c r="H27" s="14">
        <v>32</v>
      </c>
      <c r="I27" s="14">
        <v>50.78</v>
      </c>
      <c r="J27" s="15">
        <f t="shared" si="0"/>
        <v>101.56</v>
      </c>
      <c r="K27" s="15">
        <f t="shared" si="1"/>
        <v>62.967199999999998</v>
      </c>
      <c r="L27" s="15">
        <f t="shared" si="2"/>
        <v>125.9344</v>
      </c>
      <c r="M27" s="13"/>
    </row>
    <row r="28" spans="1:13">
      <c r="A28" s="12">
        <v>22</v>
      </c>
      <c r="B28" s="13" t="s">
        <v>85</v>
      </c>
      <c r="C28" s="13" t="s">
        <v>86</v>
      </c>
      <c r="D28" s="13" t="s">
        <v>87</v>
      </c>
      <c r="E28" s="14">
        <v>2</v>
      </c>
      <c r="F28" s="14">
        <v>120</v>
      </c>
      <c r="G28" s="14">
        <v>30</v>
      </c>
      <c r="H28" s="14">
        <v>40</v>
      </c>
      <c r="I28" s="14">
        <v>17.45</v>
      </c>
      <c r="J28" s="15">
        <f t="shared" si="0"/>
        <v>34.9</v>
      </c>
      <c r="K28" s="15">
        <f t="shared" si="1"/>
        <v>21.637999999999998</v>
      </c>
      <c r="L28" s="15">
        <f t="shared" si="2"/>
        <v>43.275999999999996</v>
      </c>
      <c r="M28" s="13"/>
    </row>
    <row r="29" spans="1:13" ht="26.4">
      <c r="A29" s="12">
        <v>23</v>
      </c>
      <c r="B29" s="13" t="s">
        <v>88</v>
      </c>
      <c r="C29" s="13" t="s">
        <v>89</v>
      </c>
      <c r="D29" s="13" t="s">
        <v>90</v>
      </c>
      <c r="E29" s="14">
        <v>2</v>
      </c>
      <c r="F29" s="14">
        <v>100</v>
      </c>
      <c r="G29" s="14">
        <v>15</v>
      </c>
      <c r="H29" s="14">
        <v>19</v>
      </c>
      <c r="I29" s="14">
        <v>20.170000000000002</v>
      </c>
      <c r="J29" s="15">
        <f t="shared" si="0"/>
        <v>40.340000000000003</v>
      </c>
      <c r="K29" s="15">
        <f t="shared" si="1"/>
        <v>25.010800000000003</v>
      </c>
      <c r="L29" s="15">
        <f t="shared" si="2"/>
        <v>50.021600000000007</v>
      </c>
      <c r="M29" s="16" t="s">
        <v>71</v>
      </c>
    </row>
    <row r="30" spans="1:13">
      <c r="A30" s="12">
        <v>24</v>
      </c>
      <c r="B30" s="13" t="s">
        <v>91</v>
      </c>
      <c r="C30" s="13" t="s">
        <v>92</v>
      </c>
      <c r="D30" s="13" t="s">
        <v>93</v>
      </c>
      <c r="E30" s="14">
        <v>4</v>
      </c>
      <c r="F30" s="14">
        <v>30</v>
      </c>
      <c r="G30" s="14">
        <v>54.9</v>
      </c>
      <c r="H30" s="14">
        <v>17</v>
      </c>
      <c r="I30" s="14">
        <v>14.49</v>
      </c>
      <c r="J30" s="15">
        <f t="shared" si="0"/>
        <v>57.96</v>
      </c>
      <c r="K30" s="15">
        <f t="shared" si="1"/>
        <v>17.967600000000001</v>
      </c>
      <c r="L30" s="15">
        <f t="shared" si="2"/>
        <v>71.870400000000004</v>
      </c>
      <c r="M30" s="13"/>
    </row>
    <row r="31" spans="1:13">
      <c r="A31" s="12">
        <v>25</v>
      </c>
      <c r="B31" s="13" t="s">
        <v>94</v>
      </c>
      <c r="C31" s="13" t="s">
        <v>95</v>
      </c>
      <c r="D31" s="13" t="s">
        <v>96</v>
      </c>
      <c r="E31" s="14">
        <v>4</v>
      </c>
      <c r="F31" s="14">
        <v>60</v>
      </c>
      <c r="G31" s="14">
        <v>98</v>
      </c>
      <c r="H31" s="14">
        <v>32</v>
      </c>
      <c r="I31" s="14">
        <v>45.5</v>
      </c>
      <c r="J31" s="15">
        <f t="shared" si="0"/>
        <v>182</v>
      </c>
      <c r="K31" s="15">
        <f t="shared" si="1"/>
        <v>56.42</v>
      </c>
      <c r="L31" s="15">
        <f t="shared" si="2"/>
        <v>225.68</v>
      </c>
      <c r="M31" s="13"/>
    </row>
    <row r="32" spans="1:13">
      <c r="A32" s="12">
        <v>26</v>
      </c>
      <c r="B32" s="13" t="s">
        <v>97</v>
      </c>
      <c r="C32" s="13" t="s">
        <v>54</v>
      </c>
      <c r="D32" s="13" t="s">
        <v>98</v>
      </c>
      <c r="E32" s="14">
        <v>4</v>
      </c>
      <c r="F32" s="14">
        <v>30</v>
      </c>
      <c r="G32" s="14">
        <v>55</v>
      </c>
      <c r="H32" s="14">
        <v>13</v>
      </c>
      <c r="I32" s="14">
        <v>15.58</v>
      </c>
      <c r="J32" s="15">
        <f t="shared" si="0"/>
        <v>62.32</v>
      </c>
      <c r="K32" s="15">
        <f t="shared" si="1"/>
        <v>19.319199999999999</v>
      </c>
      <c r="L32" s="15">
        <f t="shared" si="2"/>
        <v>77.276799999999994</v>
      </c>
      <c r="M32" s="16" t="s">
        <v>46</v>
      </c>
    </row>
    <row r="33" spans="1:13" ht="26.4">
      <c r="A33" s="12">
        <v>27</v>
      </c>
      <c r="B33" s="13" t="s">
        <v>99</v>
      </c>
      <c r="C33" s="13" t="s">
        <v>100</v>
      </c>
      <c r="D33" s="13" t="s">
        <v>101</v>
      </c>
      <c r="E33" s="14">
        <v>4</v>
      </c>
      <c r="F33" s="14">
        <v>53.9</v>
      </c>
      <c r="G33" s="14">
        <v>10</v>
      </c>
      <c r="H33" s="14">
        <v>14</v>
      </c>
      <c r="I33" s="14">
        <v>6.08</v>
      </c>
      <c r="J33" s="15">
        <f t="shared" si="0"/>
        <v>24.32</v>
      </c>
      <c r="K33" s="15">
        <f t="shared" si="1"/>
        <v>7.5392000000000001</v>
      </c>
      <c r="L33" s="15">
        <f t="shared" si="2"/>
        <v>30.1568</v>
      </c>
      <c r="M33" s="16" t="s">
        <v>71</v>
      </c>
    </row>
    <row r="34" spans="1:13">
      <c r="A34" s="12">
        <v>28</v>
      </c>
      <c r="B34" s="13" t="s">
        <v>102</v>
      </c>
      <c r="C34" s="13" t="s">
        <v>40</v>
      </c>
      <c r="D34" s="13" t="s">
        <v>103</v>
      </c>
      <c r="E34" s="14">
        <v>5</v>
      </c>
      <c r="F34" s="14">
        <v>60</v>
      </c>
      <c r="G34" s="14">
        <v>90</v>
      </c>
      <c r="H34" s="14">
        <v>2</v>
      </c>
      <c r="I34" s="14">
        <v>10.67</v>
      </c>
      <c r="J34" s="15">
        <f t="shared" si="0"/>
        <v>53.35</v>
      </c>
      <c r="K34" s="15">
        <f t="shared" si="1"/>
        <v>13.2308</v>
      </c>
      <c r="L34" s="15">
        <f t="shared" si="2"/>
        <v>66.153999999999996</v>
      </c>
      <c r="M34" s="16" t="s">
        <v>104</v>
      </c>
    </row>
    <row r="35" spans="1:13" ht="26.4">
      <c r="A35" s="12">
        <v>29</v>
      </c>
      <c r="B35" s="13" t="s">
        <v>105</v>
      </c>
      <c r="C35" s="13" t="s">
        <v>106</v>
      </c>
      <c r="D35" s="13" t="s">
        <v>107</v>
      </c>
      <c r="E35" s="14">
        <v>5</v>
      </c>
      <c r="F35" s="14">
        <v>50.8</v>
      </c>
      <c r="G35" s="14">
        <v>50</v>
      </c>
      <c r="H35" s="14">
        <v>42.8</v>
      </c>
      <c r="I35" s="14">
        <v>21.85</v>
      </c>
      <c r="J35" s="15">
        <f t="shared" si="0"/>
        <v>109.25</v>
      </c>
      <c r="K35" s="15">
        <f t="shared" si="1"/>
        <v>27.094000000000001</v>
      </c>
      <c r="L35" s="15">
        <f t="shared" si="2"/>
        <v>135.47</v>
      </c>
      <c r="M35" s="13" t="s">
        <v>108</v>
      </c>
    </row>
    <row r="36" spans="1:13" ht="26.4">
      <c r="A36" s="12">
        <v>30</v>
      </c>
      <c r="B36" s="13" t="s">
        <v>105</v>
      </c>
      <c r="C36" s="13" t="s">
        <v>109</v>
      </c>
      <c r="D36" s="13" t="s">
        <v>110</v>
      </c>
      <c r="E36" s="14">
        <v>5</v>
      </c>
      <c r="F36" s="14">
        <v>50.8</v>
      </c>
      <c r="G36" s="14">
        <v>50</v>
      </c>
      <c r="H36" s="14">
        <v>42.8</v>
      </c>
      <c r="I36" s="14">
        <v>21.85</v>
      </c>
      <c r="J36" s="15">
        <f t="shared" si="0"/>
        <v>109.25</v>
      </c>
      <c r="K36" s="15">
        <f t="shared" si="1"/>
        <v>27.094000000000001</v>
      </c>
      <c r="L36" s="15">
        <f t="shared" si="2"/>
        <v>135.47</v>
      </c>
      <c r="M36" s="13" t="s">
        <v>111</v>
      </c>
    </row>
    <row r="37" spans="1:13">
      <c r="A37" s="12">
        <v>31</v>
      </c>
      <c r="B37" s="13" t="s">
        <v>112</v>
      </c>
      <c r="C37" s="13" t="s">
        <v>113</v>
      </c>
      <c r="D37" s="13" t="s">
        <v>114</v>
      </c>
      <c r="E37" s="14">
        <v>7</v>
      </c>
      <c r="F37" s="14">
        <v>12</v>
      </c>
      <c r="G37" s="14">
        <v>24</v>
      </c>
      <c r="H37" s="14">
        <v>9</v>
      </c>
      <c r="I37" s="14">
        <v>1.26</v>
      </c>
      <c r="J37" s="15">
        <f t="shared" si="0"/>
        <v>8.82</v>
      </c>
      <c r="K37" s="15">
        <f t="shared" si="1"/>
        <v>1.5624</v>
      </c>
      <c r="L37" s="15">
        <f t="shared" si="2"/>
        <v>10.9368</v>
      </c>
      <c r="M37" s="13"/>
    </row>
    <row r="38" spans="1:13" ht="15" customHeight="1">
      <c r="A38" s="4" t="s">
        <v>115</v>
      </c>
      <c r="B38" s="4"/>
      <c r="C38" s="4"/>
      <c r="D38" s="4"/>
      <c r="E38" s="17">
        <f>SUM(E7:E37)</f>
        <v>89</v>
      </c>
      <c r="F38" s="18"/>
      <c r="G38" s="18"/>
      <c r="H38" s="18"/>
      <c r="I38" s="18"/>
      <c r="J38" s="19">
        <f>SUM(J7:J37)</f>
        <v>2233.64</v>
      </c>
      <c r="K38" s="18"/>
      <c r="L38" s="19">
        <f>SUM(L7:L37)</f>
        <v>2769.7136</v>
      </c>
      <c r="M38" s="18"/>
    </row>
    <row r="39" spans="1:13">
      <c r="A39" s="3" t="s">
        <v>116</v>
      </c>
      <c r="B39" s="3"/>
      <c r="C39" s="3"/>
      <c r="D39" s="3"/>
      <c r="E39" s="20">
        <f>COUNTA(B7:B37)</f>
        <v>31</v>
      </c>
    </row>
    <row r="41" spans="1:13">
      <c r="A41" s="2" t="s">
        <v>117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1" t="s">
        <v>118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1" t="s">
        <v>119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>
      <c r="A44" s="1" t="s">
        <v>120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1" t="s">
        <v>121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 t="s">
        <v>122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</sheetData>
  <mergeCells count="10">
    <mergeCell ref="A42:M42"/>
    <mergeCell ref="A43:M43"/>
    <mergeCell ref="A44:M44"/>
    <mergeCell ref="A45:M45"/>
    <mergeCell ref="A46:M46"/>
    <mergeCell ref="A1:K1"/>
    <mergeCell ref="A2:K2"/>
    <mergeCell ref="A38:D38"/>
    <mergeCell ref="A39:D39"/>
    <mergeCell ref="A41:M41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Black Hood</cp:lastModifiedBy>
  <cp:revision>0</cp:revision>
  <dcterms:created xsi:type="dcterms:W3CDTF">2026-07-02T01:06:52Z</dcterms:created>
  <dcterms:modified xsi:type="dcterms:W3CDTF">2026-07-02T05:44:36Z</dcterms:modified>
  <dc:language>en-US</dc:language>
</cp:coreProperties>
</file>